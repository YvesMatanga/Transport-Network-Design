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<sst xmlns="http://schemas.openxmlformats.org/spreadsheetml/2006/main" count="309" uniqueCount="50">
  <si>
    <t>O-Description</t>
  </si>
  <si>
    <t>Origin Label</t>
  </si>
  <si>
    <t>D-Description</t>
  </si>
  <si>
    <t>Destination Label</t>
  </si>
  <si>
    <t>Demand</t>
  </si>
  <si>
    <t>Unit</t>
  </si>
  <si>
    <t>Unit (pcu/day)</t>
  </si>
  <si>
    <t>Tag</t>
  </si>
  <si>
    <t>Car</t>
  </si>
  <si>
    <t>Motor Cycle</t>
  </si>
  <si>
    <t>Taxi</t>
  </si>
  <si>
    <t>Taxibus</t>
  </si>
  <si>
    <t>Bus</t>
  </si>
  <si>
    <t>Gombe</t>
  </si>
  <si>
    <t>Airport</t>
  </si>
  <si>
    <t>pax/day</t>
  </si>
  <si>
    <t>To-Ndjili-Airport</t>
  </si>
  <si>
    <t>Sendwe</t>
  </si>
  <si>
    <t>Triomphal</t>
  </si>
  <si>
    <t>Ngaliema</t>
  </si>
  <si>
    <t>UPN</t>
  </si>
  <si>
    <t>Cite Verte</t>
  </si>
  <si>
    <t>Ront Point</t>
  </si>
  <si>
    <t>Lemba</t>
  </si>
  <si>
    <t>Echangeur</t>
  </si>
  <si>
    <t>Entrée Bas Congo</t>
  </si>
  <si>
    <t>Cité Verte</t>
  </si>
  <si>
    <t>From-Matadi-Road</t>
  </si>
  <si>
    <t>Makala</t>
  </si>
  <si>
    <t>ENtrée Bas Congo</t>
  </si>
  <si>
    <t>Limite/Sendwe</t>
  </si>
  <si>
    <t>RP</t>
  </si>
  <si>
    <t>Limete</t>
  </si>
  <si>
    <t>pcu/day</t>
  </si>
  <si>
    <t>Freight-From-Matadi-Road</t>
  </si>
  <si>
    <t>Masina</t>
  </si>
  <si>
    <t>Entrée Bandundu</t>
  </si>
  <si>
    <t>From-Bandundu</t>
  </si>
  <si>
    <t>Freight-From-Bandundu</t>
  </si>
  <si>
    <t>Ngobila Beach</t>
  </si>
  <si>
    <t>From-Ngobila-Beach</t>
  </si>
  <si>
    <t>Selembao</t>
  </si>
  <si>
    <t>Roint Point</t>
  </si>
  <si>
    <t>Sendwe/Limete</t>
  </si>
  <si>
    <t>Inner-City-Freight-HGT</t>
  </si>
  <si>
    <t>Inner-City-Freight-LGT</t>
  </si>
  <si>
    <t>Mont Ngafula</t>
  </si>
  <si>
    <t>RP Ngaba</t>
  </si>
  <si>
    <t>Inner-City-Freight-ACT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</si>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</sst>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0.75"/>
    <col customWidth="1" min="3" max="3" width="11.88"/>
    <col customWidth="1" min="4" max="4" width="14.88"/>
    <col customWidth="1" min="5" max="5" width="7.63"/>
    <col customWidth="1" min="6" max="6" width="6.88"/>
    <col customWidth="1" min="7" max="8" width="2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3">
        <v>7.0</v>
      </c>
      <c r="C2" s="4" t="s">
        <v>14</v>
      </c>
      <c r="D2" s="3">
        <v>19.0</v>
      </c>
      <c r="E2" s="3">
        <v>1000.0</v>
      </c>
      <c r="F2" s="3" t="s">
        <v>15</v>
      </c>
      <c r="G2" s="3">
        <f t="shared" ref="G2:G11" si="1">E2/$I$2</f>
        <v>200</v>
      </c>
      <c r="H2" s="3" t="s">
        <v>16</v>
      </c>
      <c r="I2" s="1">
        <v>5.0</v>
      </c>
      <c r="J2" s="1">
        <v>3.0</v>
      </c>
      <c r="K2" s="1">
        <v>3.0</v>
      </c>
      <c r="L2" s="1">
        <v>15.0</v>
      </c>
      <c r="M2" s="1">
        <v>60.0</v>
      </c>
    </row>
    <row r="3">
      <c r="A3" s="4" t="s">
        <v>17</v>
      </c>
      <c r="B3" s="3">
        <v>14.0</v>
      </c>
      <c r="C3" s="4" t="s">
        <v>14</v>
      </c>
      <c r="D3" s="3">
        <v>19.0</v>
      </c>
      <c r="E3" s="3">
        <v>250.0</v>
      </c>
      <c r="F3" s="3" t="s">
        <v>15</v>
      </c>
      <c r="G3" s="3">
        <f t="shared" si="1"/>
        <v>50</v>
      </c>
      <c r="H3" s="3" t="s">
        <v>16</v>
      </c>
      <c r="I3" s="3">
        <v>9.0</v>
      </c>
      <c r="J3" s="3">
        <v>22.8</v>
      </c>
      <c r="K3" s="3">
        <v>15.1</v>
      </c>
      <c r="L3" s="3">
        <v>32.6</v>
      </c>
      <c r="M3" s="3">
        <v>20.6</v>
      </c>
    </row>
    <row r="4">
      <c r="A4" s="4" t="s">
        <v>18</v>
      </c>
      <c r="B4" s="3">
        <v>13.0</v>
      </c>
      <c r="C4" s="4" t="s">
        <v>14</v>
      </c>
      <c r="D4" s="3">
        <v>19.0</v>
      </c>
      <c r="E4" s="3">
        <v>250.0</v>
      </c>
      <c r="F4" s="3" t="s">
        <v>15</v>
      </c>
      <c r="G4" s="3">
        <f t="shared" si="1"/>
        <v>50</v>
      </c>
      <c r="H4" s="3" t="s">
        <v>16</v>
      </c>
    </row>
    <row r="5">
      <c r="A5" s="5">
        <v>45985.0</v>
      </c>
      <c r="B5" s="3">
        <v>10.0</v>
      </c>
      <c r="C5" s="4" t="s">
        <v>14</v>
      </c>
      <c r="D5" s="3">
        <v>19.0</v>
      </c>
      <c r="E5" s="3">
        <v>750.0</v>
      </c>
      <c r="F5" s="3" t="s">
        <v>15</v>
      </c>
      <c r="G5" s="3">
        <f t="shared" si="1"/>
        <v>150</v>
      </c>
      <c r="H5" s="3" t="s">
        <v>16</v>
      </c>
    </row>
    <row r="6">
      <c r="A6" s="4" t="s">
        <v>19</v>
      </c>
      <c r="B6" s="3">
        <v>5.0</v>
      </c>
      <c r="C6" s="4" t="s">
        <v>14</v>
      </c>
      <c r="D6" s="3">
        <v>19.0</v>
      </c>
      <c r="E6" s="3">
        <v>500.0</v>
      </c>
      <c r="F6" s="3" t="s">
        <v>15</v>
      </c>
      <c r="G6" s="3">
        <f t="shared" si="1"/>
        <v>100</v>
      </c>
      <c r="H6" s="3" t="s">
        <v>16</v>
      </c>
    </row>
    <row r="7">
      <c r="A7" s="4" t="s">
        <v>20</v>
      </c>
      <c r="B7" s="3">
        <v>8.0</v>
      </c>
      <c r="C7" s="4" t="s">
        <v>14</v>
      </c>
      <c r="D7" s="3">
        <v>19.0</v>
      </c>
      <c r="E7" s="3">
        <v>250.0</v>
      </c>
      <c r="F7" s="3" t="s">
        <v>15</v>
      </c>
      <c r="G7" s="3">
        <f t="shared" si="1"/>
        <v>50</v>
      </c>
      <c r="H7" s="3" t="s">
        <v>16</v>
      </c>
    </row>
    <row r="8">
      <c r="A8" s="4" t="s">
        <v>21</v>
      </c>
      <c r="B8" s="3">
        <v>2.0</v>
      </c>
      <c r="C8" s="4" t="s">
        <v>14</v>
      </c>
      <c r="D8" s="3">
        <v>19.0</v>
      </c>
      <c r="E8" s="3">
        <v>250.0</v>
      </c>
      <c r="F8" s="3" t="s">
        <v>15</v>
      </c>
      <c r="G8" s="3">
        <f t="shared" si="1"/>
        <v>50</v>
      </c>
      <c r="H8" s="3" t="s">
        <v>16</v>
      </c>
    </row>
    <row r="9">
      <c r="A9" s="3" t="s">
        <v>22</v>
      </c>
      <c r="B9" s="3">
        <v>12.0</v>
      </c>
      <c r="C9" s="4" t="s">
        <v>14</v>
      </c>
      <c r="D9" s="3">
        <v>19.0</v>
      </c>
      <c r="E9" s="3">
        <v>250.0</v>
      </c>
      <c r="F9" s="3" t="s">
        <v>15</v>
      </c>
      <c r="G9" s="3">
        <f t="shared" si="1"/>
        <v>50</v>
      </c>
      <c r="H9" s="3" t="s">
        <v>16</v>
      </c>
    </row>
    <row r="10">
      <c r="A10" s="3" t="s">
        <v>23</v>
      </c>
      <c r="B10" s="3">
        <v>15.0</v>
      </c>
      <c r="C10" s="4" t="s">
        <v>14</v>
      </c>
      <c r="D10" s="3">
        <v>19.0</v>
      </c>
      <c r="E10" s="3">
        <v>250.0</v>
      </c>
      <c r="F10" s="3" t="s">
        <v>15</v>
      </c>
      <c r="G10" s="3">
        <f t="shared" si="1"/>
        <v>50</v>
      </c>
      <c r="H10" s="3" t="s">
        <v>16</v>
      </c>
    </row>
    <row r="11">
      <c r="A11" s="3" t="s">
        <v>24</v>
      </c>
      <c r="B11" s="3">
        <v>16.0</v>
      </c>
      <c r="C11" s="4" t="s">
        <v>14</v>
      </c>
      <c r="D11" s="3">
        <v>19.0</v>
      </c>
      <c r="E11" s="3">
        <v>500.0</v>
      </c>
      <c r="F11" s="3" t="s">
        <v>15</v>
      </c>
      <c r="G11" s="3">
        <f t="shared" si="1"/>
        <v>100</v>
      </c>
      <c r="H11" s="3" t="s">
        <v>16</v>
      </c>
    </row>
    <row r="12">
      <c r="A12" s="3" t="s">
        <v>25</v>
      </c>
      <c r="B12" s="3">
        <v>1.0</v>
      </c>
      <c r="C12" s="4" t="s">
        <v>26</v>
      </c>
      <c r="D12" s="3">
        <v>2.0</v>
      </c>
      <c r="E12" s="3">
        <v>3000.0</v>
      </c>
      <c r="F12" s="3" t="s">
        <v>15</v>
      </c>
      <c r="G12" s="3">
        <f t="shared" ref="G12:G22" si="2">ROUND(E12*$I$3*0.01/$I$2+E12*$J$3*0.01/$J$2+E12*$K$3*0.01/$K$2+E12*$L$3*0.01/$L$2+E12*$M$3*0.01/$M$2,0)</f>
        <v>509</v>
      </c>
      <c r="H12" s="3" t="s">
        <v>27</v>
      </c>
    </row>
    <row r="13">
      <c r="A13" s="3" t="s">
        <v>25</v>
      </c>
      <c r="B13" s="3">
        <v>1.0</v>
      </c>
      <c r="C13" s="4" t="s">
        <v>19</v>
      </c>
      <c r="D13" s="3">
        <v>5.0</v>
      </c>
      <c r="E13" s="3">
        <v>3000.0</v>
      </c>
      <c r="F13" s="3" t="s">
        <v>15</v>
      </c>
      <c r="G13" s="3">
        <f t="shared" si="2"/>
        <v>509</v>
      </c>
      <c r="H13" s="3" t="s">
        <v>27</v>
      </c>
    </row>
    <row r="14">
      <c r="A14" s="3" t="s">
        <v>25</v>
      </c>
      <c r="B14" s="3">
        <v>1.0</v>
      </c>
      <c r="C14" s="4" t="s">
        <v>19</v>
      </c>
      <c r="D14" s="3">
        <v>4.0</v>
      </c>
      <c r="E14" s="3">
        <v>1500.0</v>
      </c>
      <c r="F14" s="3" t="s">
        <v>15</v>
      </c>
      <c r="G14" s="3">
        <f t="shared" si="2"/>
        <v>254</v>
      </c>
      <c r="H14" s="3" t="s">
        <v>27</v>
      </c>
    </row>
    <row r="15">
      <c r="A15" s="3" t="s">
        <v>25</v>
      </c>
      <c r="B15" s="3">
        <v>1.0</v>
      </c>
      <c r="C15" s="4" t="s">
        <v>28</v>
      </c>
      <c r="D15" s="3">
        <v>9.0</v>
      </c>
      <c r="E15" s="3">
        <v>2000.0</v>
      </c>
      <c r="F15" s="3" t="s">
        <v>15</v>
      </c>
      <c r="G15" s="3">
        <f t="shared" si="2"/>
        <v>339</v>
      </c>
      <c r="H15" s="3" t="s">
        <v>27</v>
      </c>
    </row>
    <row r="16">
      <c r="A16" s="3" t="s">
        <v>29</v>
      </c>
      <c r="B16" s="3">
        <v>1.0</v>
      </c>
      <c r="C16" s="4" t="s">
        <v>13</v>
      </c>
      <c r="D16" s="3">
        <v>7.0</v>
      </c>
      <c r="E16" s="3">
        <v>4500.0</v>
      </c>
      <c r="F16" s="3" t="s">
        <v>15</v>
      </c>
      <c r="G16" s="3">
        <f t="shared" si="2"/>
        <v>763</v>
      </c>
      <c r="H16" s="3" t="s">
        <v>27</v>
      </c>
    </row>
    <row r="17">
      <c r="A17" s="3" t="s">
        <v>25</v>
      </c>
      <c r="B17" s="3">
        <v>1.0</v>
      </c>
      <c r="C17" s="5">
        <v>45985.0</v>
      </c>
      <c r="D17" s="3">
        <v>10.0</v>
      </c>
      <c r="E17" s="3">
        <v>4500.0</v>
      </c>
      <c r="F17" s="3" t="s">
        <v>15</v>
      </c>
      <c r="G17" s="3">
        <f t="shared" si="2"/>
        <v>763</v>
      </c>
      <c r="H17" s="3" t="s">
        <v>27</v>
      </c>
    </row>
    <row r="18">
      <c r="A18" s="3" t="s">
        <v>25</v>
      </c>
      <c r="B18" s="3">
        <v>1.0</v>
      </c>
      <c r="C18" s="4" t="s">
        <v>17</v>
      </c>
      <c r="D18" s="3">
        <v>14.0</v>
      </c>
      <c r="E18" s="3">
        <v>4500.0</v>
      </c>
      <c r="F18" s="3" t="s">
        <v>15</v>
      </c>
      <c r="G18" s="3">
        <f t="shared" si="2"/>
        <v>763</v>
      </c>
      <c r="H18" s="3" t="s">
        <v>27</v>
      </c>
    </row>
    <row r="19">
      <c r="A19" s="3" t="s">
        <v>25</v>
      </c>
      <c r="B19" s="3">
        <v>1.0</v>
      </c>
      <c r="C19" s="4" t="s">
        <v>30</v>
      </c>
      <c r="D19" s="3">
        <v>13.0</v>
      </c>
      <c r="E19" s="3">
        <v>4500.0</v>
      </c>
      <c r="F19" s="3" t="s">
        <v>15</v>
      </c>
      <c r="G19" s="3">
        <f t="shared" si="2"/>
        <v>763</v>
      </c>
      <c r="H19" s="3" t="s">
        <v>27</v>
      </c>
    </row>
    <row r="20">
      <c r="A20" s="3" t="s">
        <v>25</v>
      </c>
      <c r="B20" s="3">
        <v>1.0</v>
      </c>
      <c r="C20" s="4" t="s">
        <v>31</v>
      </c>
      <c r="D20" s="3">
        <v>12.0</v>
      </c>
      <c r="E20" s="3">
        <v>3000.0</v>
      </c>
      <c r="F20" s="3" t="s">
        <v>15</v>
      </c>
      <c r="G20" s="3">
        <f t="shared" si="2"/>
        <v>509</v>
      </c>
      <c r="H20" s="3" t="s">
        <v>27</v>
      </c>
    </row>
    <row r="21">
      <c r="A21" s="3" t="s">
        <v>25</v>
      </c>
      <c r="B21" s="3">
        <v>1.0</v>
      </c>
      <c r="C21" s="4" t="s">
        <v>23</v>
      </c>
      <c r="D21" s="3">
        <v>15.0</v>
      </c>
      <c r="E21" s="3">
        <v>1500.0</v>
      </c>
      <c r="F21" s="3" t="s">
        <v>15</v>
      </c>
      <c r="G21" s="3">
        <f t="shared" si="2"/>
        <v>254</v>
      </c>
      <c r="H21" s="3" t="s">
        <v>27</v>
      </c>
    </row>
    <row r="22">
      <c r="A22" s="3" t="s">
        <v>25</v>
      </c>
      <c r="B22" s="3">
        <v>1.0</v>
      </c>
      <c r="C22" s="4" t="s">
        <v>24</v>
      </c>
      <c r="D22" s="3">
        <v>16.0</v>
      </c>
      <c r="E22" s="3">
        <v>3000.0</v>
      </c>
      <c r="F22" s="3" t="s">
        <v>15</v>
      </c>
      <c r="G22" s="3">
        <f t="shared" si="2"/>
        <v>509</v>
      </c>
      <c r="H22" s="3" t="s">
        <v>27</v>
      </c>
    </row>
    <row r="23">
      <c r="A23" s="3" t="s">
        <v>25</v>
      </c>
      <c r="B23" s="3">
        <v>1.0</v>
      </c>
      <c r="C23" s="4" t="s">
        <v>32</v>
      </c>
      <c r="D23" s="3">
        <v>13.0</v>
      </c>
      <c r="E23" s="3">
        <v>1500.0</v>
      </c>
      <c r="F23" s="3" t="s">
        <v>33</v>
      </c>
      <c r="G23" s="6">
        <f t="shared" ref="G23:G29" si="3">E23</f>
        <v>1500</v>
      </c>
      <c r="H23" s="3" t="s">
        <v>34</v>
      </c>
    </row>
    <row r="24">
      <c r="A24" s="3" t="s">
        <v>25</v>
      </c>
      <c r="B24" s="3">
        <v>1.0</v>
      </c>
      <c r="C24" s="4" t="s">
        <v>19</v>
      </c>
      <c r="D24" s="3">
        <v>5.0</v>
      </c>
      <c r="E24" s="3">
        <v>250.0</v>
      </c>
      <c r="F24" s="3" t="s">
        <v>33</v>
      </c>
      <c r="G24" s="6">
        <f t="shared" si="3"/>
        <v>250</v>
      </c>
      <c r="H24" s="3" t="s">
        <v>34</v>
      </c>
    </row>
    <row r="25">
      <c r="A25" s="3" t="s">
        <v>25</v>
      </c>
      <c r="B25" s="3">
        <v>1.0</v>
      </c>
      <c r="C25" s="5">
        <v>45985.0</v>
      </c>
      <c r="D25" s="3">
        <v>10.0</v>
      </c>
      <c r="E25" s="3">
        <v>250.0</v>
      </c>
      <c r="F25" s="3" t="s">
        <v>33</v>
      </c>
      <c r="G25" s="6">
        <f t="shared" si="3"/>
        <v>250</v>
      </c>
      <c r="H25" s="3" t="s">
        <v>34</v>
      </c>
    </row>
    <row r="26">
      <c r="A26" s="3" t="s">
        <v>25</v>
      </c>
      <c r="B26" s="3">
        <v>1.0</v>
      </c>
      <c r="C26" s="4" t="s">
        <v>13</v>
      </c>
      <c r="D26" s="3">
        <v>7.0</v>
      </c>
      <c r="E26" s="3">
        <v>250.0</v>
      </c>
      <c r="F26" s="3" t="s">
        <v>33</v>
      </c>
      <c r="G26" s="6">
        <f t="shared" si="3"/>
        <v>250</v>
      </c>
      <c r="H26" s="3" t="s">
        <v>34</v>
      </c>
    </row>
    <row r="27">
      <c r="A27" s="3" t="s">
        <v>25</v>
      </c>
      <c r="B27" s="3">
        <v>1.0</v>
      </c>
      <c r="C27" s="4" t="s">
        <v>18</v>
      </c>
      <c r="D27" s="3">
        <v>14.0</v>
      </c>
      <c r="E27" s="3">
        <v>750.0</v>
      </c>
      <c r="F27" s="3" t="s">
        <v>33</v>
      </c>
      <c r="G27" s="6">
        <f t="shared" si="3"/>
        <v>750</v>
      </c>
      <c r="H27" s="3" t="s">
        <v>34</v>
      </c>
    </row>
    <row r="28">
      <c r="A28" s="3" t="s">
        <v>25</v>
      </c>
      <c r="B28" s="3">
        <v>1.0</v>
      </c>
      <c r="C28" s="4" t="s">
        <v>31</v>
      </c>
      <c r="D28" s="3">
        <v>12.0</v>
      </c>
      <c r="E28" s="3">
        <v>750.0</v>
      </c>
      <c r="F28" s="3" t="s">
        <v>33</v>
      </c>
      <c r="G28" s="6">
        <f t="shared" si="3"/>
        <v>750</v>
      </c>
      <c r="H28" s="3" t="s">
        <v>34</v>
      </c>
    </row>
    <row r="29">
      <c r="A29" s="3" t="s">
        <v>25</v>
      </c>
      <c r="B29" s="3">
        <v>1.0</v>
      </c>
      <c r="C29" s="4" t="s">
        <v>35</v>
      </c>
      <c r="D29" s="1">
        <v>17.0</v>
      </c>
      <c r="E29" s="3">
        <v>500.0</v>
      </c>
      <c r="F29" s="3" t="s">
        <v>33</v>
      </c>
      <c r="G29" s="6">
        <f t="shared" si="3"/>
        <v>500</v>
      </c>
      <c r="H29" s="3" t="s">
        <v>34</v>
      </c>
    </row>
    <row r="30">
      <c r="A30" s="3" t="s">
        <v>36</v>
      </c>
      <c r="B30" s="3">
        <v>22.0</v>
      </c>
      <c r="C30" s="4" t="s">
        <v>35</v>
      </c>
      <c r="D30" s="3">
        <v>17.0</v>
      </c>
      <c r="E30" s="3">
        <v>6000.0</v>
      </c>
      <c r="F30" s="3" t="s">
        <v>15</v>
      </c>
      <c r="G30" s="3">
        <f t="shared" ref="G30:G34" si="4">ROUND(E30*$I$3*0.01/$I$2+E30*$J$3*0.01/$J$2+E30*$K$3*0.01/$K$2+E30*$L$3*0.01/$L$2+E30*$M$3*0.01/$M$2,0)</f>
        <v>1017</v>
      </c>
      <c r="H30" s="3" t="s">
        <v>37</v>
      </c>
    </row>
    <row r="31">
      <c r="A31" s="3" t="s">
        <v>36</v>
      </c>
      <c r="B31" s="3">
        <v>22.0</v>
      </c>
      <c r="C31" s="4" t="s">
        <v>24</v>
      </c>
      <c r="D31" s="3">
        <v>16.0</v>
      </c>
      <c r="E31" s="3">
        <v>2500.0</v>
      </c>
      <c r="F31" s="3" t="s">
        <v>15</v>
      </c>
      <c r="G31" s="3">
        <f t="shared" si="4"/>
        <v>424</v>
      </c>
      <c r="H31" s="3" t="s">
        <v>37</v>
      </c>
    </row>
    <row r="32">
      <c r="A32" s="3" t="s">
        <v>36</v>
      </c>
      <c r="B32" s="3">
        <v>22.0</v>
      </c>
      <c r="C32" s="4" t="s">
        <v>26</v>
      </c>
      <c r="D32" s="3">
        <v>2.0</v>
      </c>
      <c r="E32" s="3">
        <v>1500.0</v>
      </c>
      <c r="F32" s="3" t="s">
        <v>15</v>
      </c>
      <c r="G32" s="3">
        <f t="shared" si="4"/>
        <v>254</v>
      </c>
      <c r="H32" s="3" t="s">
        <v>37</v>
      </c>
    </row>
    <row r="33">
      <c r="A33" s="3" t="s">
        <v>36</v>
      </c>
      <c r="B33" s="3">
        <v>22.0</v>
      </c>
      <c r="C33" s="4" t="s">
        <v>17</v>
      </c>
      <c r="D33" s="3">
        <v>13.0</v>
      </c>
      <c r="E33" s="3">
        <v>1500.0</v>
      </c>
      <c r="F33" s="3" t="s">
        <v>15</v>
      </c>
      <c r="G33" s="3">
        <f t="shared" si="4"/>
        <v>254</v>
      </c>
      <c r="H33" s="3" t="s">
        <v>37</v>
      </c>
    </row>
    <row r="34">
      <c r="A34" s="3" t="s">
        <v>36</v>
      </c>
      <c r="B34" s="3">
        <v>22.0</v>
      </c>
      <c r="C34" s="4" t="s">
        <v>19</v>
      </c>
      <c r="D34" s="3">
        <v>5.0</v>
      </c>
      <c r="E34" s="3">
        <v>1500.0</v>
      </c>
      <c r="F34" s="3" t="s">
        <v>15</v>
      </c>
      <c r="G34" s="3">
        <f t="shared" si="4"/>
        <v>254</v>
      </c>
      <c r="H34" s="3" t="s">
        <v>37</v>
      </c>
    </row>
    <row r="35">
      <c r="A35" s="3" t="s">
        <v>36</v>
      </c>
      <c r="B35" s="3">
        <v>22.0</v>
      </c>
      <c r="C35" s="4" t="s">
        <v>35</v>
      </c>
      <c r="D35" s="3">
        <v>17.0</v>
      </c>
      <c r="E35" s="3">
        <v>300.0</v>
      </c>
      <c r="F35" s="3" t="s">
        <v>33</v>
      </c>
      <c r="G35" s="6">
        <f t="shared" ref="G35:G41" si="5">E35</f>
        <v>300</v>
      </c>
      <c r="H35" s="3" t="s">
        <v>38</v>
      </c>
    </row>
    <row r="36">
      <c r="A36" s="3" t="s">
        <v>36</v>
      </c>
      <c r="B36" s="3">
        <v>22.0</v>
      </c>
      <c r="C36" s="4" t="s">
        <v>32</v>
      </c>
      <c r="D36" s="3">
        <v>16.0</v>
      </c>
      <c r="E36" s="3">
        <v>100.0</v>
      </c>
      <c r="F36" s="3" t="s">
        <v>33</v>
      </c>
      <c r="G36" s="6">
        <f t="shared" si="5"/>
        <v>100</v>
      </c>
      <c r="H36" s="3" t="s">
        <v>38</v>
      </c>
    </row>
    <row r="37">
      <c r="A37" s="3" t="s">
        <v>36</v>
      </c>
      <c r="B37" s="3">
        <v>22.0</v>
      </c>
      <c r="C37" s="4" t="s">
        <v>17</v>
      </c>
      <c r="D37" s="3">
        <v>13.0</v>
      </c>
      <c r="E37" s="3">
        <v>200.0</v>
      </c>
      <c r="F37" s="3" t="s">
        <v>33</v>
      </c>
      <c r="G37" s="6">
        <f t="shared" si="5"/>
        <v>200</v>
      </c>
      <c r="H37" s="3" t="s">
        <v>38</v>
      </c>
    </row>
    <row r="38">
      <c r="A38" s="3" t="s">
        <v>36</v>
      </c>
      <c r="B38" s="3">
        <v>22.0</v>
      </c>
      <c r="C38" s="4" t="s">
        <v>13</v>
      </c>
      <c r="D38" s="3">
        <v>7.0</v>
      </c>
      <c r="E38" s="3">
        <v>200.0</v>
      </c>
      <c r="F38" s="3" t="s">
        <v>33</v>
      </c>
      <c r="G38" s="6">
        <f t="shared" si="5"/>
        <v>200</v>
      </c>
      <c r="H38" s="3" t="s">
        <v>38</v>
      </c>
    </row>
    <row r="39">
      <c r="A39" s="3" t="s">
        <v>36</v>
      </c>
      <c r="B39" s="3">
        <v>22.0</v>
      </c>
      <c r="C39" s="5">
        <v>45985.0</v>
      </c>
      <c r="D39" s="3">
        <v>10.0</v>
      </c>
      <c r="E39" s="3">
        <v>100.0</v>
      </c>
      <c r="F39" s="3" t="s">
        <v>33</v>
      </c>
      <c r="G39" s="6">
        <f t="shared" si="5"/>
        <v>100</v>
      </c>
      <c r="H39" s="3" t="s">
        <v>38</v>
      </c>
    </row>
    <row r="40">
      <c r="A40" s="3" t="s">
        <v>36</v>
      </c>
      <c r="B40" s="3">
        <v>22.0</v>
      </c>
      <c r="C40" s="4" t="s">
        <v>19</v>
      </c>
      <c r="D40" s="3">
        <v>5.0</v>
      </c>
      <c r="E40" s="3">
        <v>100.0</v>
      </c>
      <c r="F40" s="3" t="s">
        <v>33</v>
      </c>
      <c r="G40" s="6">
        <f t="shared" si="5"/>
        <v>100</v>
      </c>
      <c r="H40" s="3" t="s">
        <v>38</v>
      </c>
    </row>
    <row r="41">
      <c r="A41" s="3" t="s">
        <v>36</v>
      </c>
      <c r="B41" s="3">
        <v>22.0</v>
      </c>
      <c r="C41" s="4" t="s">
        <v>14</v>
      </c>
      <c r="D41" s="3">
        <v>19.0</v>
      </c>
      <c r="E41" s="3">
        <v>100.0</v>
      </c>
      <c r="F41" s="3" t="s">
        <v>33</v>
      </c>
      <c r="G41" s="6">
        <f t="shared" si="5"/>
        <v>100</v>
      </c>
      <c r="H41" s="3" t="s">
        <v>38</v>
      </c>
    </row>
    <row r="42">
      <c r="A42" s="3" t="s">
        <v>39</v>
      </c>
      <c r="B42" s="3">
        <v>7.0</v>
      </c>
      <c r="C42" s="4" t="s">
        <v>14</v>
      </c>
      <c r="D42" s="3">
        <v>19.0</v>
      </c>
      <c r="E42" s="3">
        <v>50.0</v>
      </c>
      <c r="F42" s="3" t="s">
        <v>15</v>
      </c>
      <c r="G42" s="3">
        <f t="shared" ref="G42:G50" si="6">ROUND(E42*$I$3*0.01/$I$2+E42*$J$3*0.01/$J$2+E42*$K$3*0.01/$K$2+E42*$L$3*0.01/$L$2+E42*$M$3*0.01/$M$2,0)</f>
        <v>8</v>
      </c>
      <c r="H42" s="3" t="s">
        <v>40</v>
      </c>
    </row>
    <row r="43">
      <c r="A43" s="3" t="s">
        <v>39</v>
      </c>
      <c r="B43" s="3">
        <v>7.0</v>
      </c>
      <c r="C43" s="4" t="s">
        <v>19</v>
      </c>
      <c r="D43" s="3">
        <v>5.0</v>
      </c>
      <c r="E43" s="3">
        <v>100.0</v>
      </c>
      <c r="F43" s="3" t="s">
        <v>15</v>
      </c>
      <c r="G43" s="3">
        <f t="shared" si="6"/>
        <v>17</v>
      </c>
      <c r="H43" s="3" t="s">
        <v>40</v>
      </c>
    </row>
    <row r="44">
      <c r="A44" s="3" t="s">
        <v>39</v>
      </c>
      <c r="B44" s="3">
        <v>7.0</v>
      </c>
      <c r="C44" s="4" t="s">
        <v>18</v>
      </c>
      <c r="D44" s="3">
        <v>14.0</v>
      </c>
      <c r="E44" s="3">
        <v>50.0</v>
      </c>
      <c r="F44" s="3" t="s">
        <v>15</v>
      </c>
      <c r="G44" s="3">
        <f t="shared" si="6"/>
        <v>8</v>
      </c>
      <c r="H44" s="3" t="s">
        <v>40</v>
      </c>
    </row>
    <row r="45">
      <c r="A45" s="3" t="s">
        <v>39</v>
      </c>
      <c r="B45" s="3">
        <v>7.0</v>
      </c>
      <c r="C45" s="4" t="s">
        <v>35</v>
      </c>
      <c r="D45" s="3">
        <v>17.0</v>
      </c>
      <c r="E45" s="3">
        <v>250.0</v>
      </c>
      <c r="F45" s="3" t="s">
        <v>15</v>
      </c>
      <c r="G45" s="3">
        <f t="shared" si="6"/>
        <v>42</v>
      </c>
      <c r="H45" s="3" t="s">
        <v>40</v>
      </c>
    </row>
    <row r="46">
      <c r="A46" s="3" t="s">
        <v>39</v>
      </c>
      <c r="B46" s="3">
        <v>7.0</v>
      </c>
      <c r="C46" s="4" t="s">
        <v>17</v>
      </c>
      <c r="D46" s="3">
        <v>13.0</v>
      </c>
      <c r="E46" s="3">
        <v>100.0</v>
      </c>
      <c r="F46" s="3" t="s">
        <v>15</v>
      </c>
      <c r="G46" s="3">
        <f t="shared" si="6"/>
        <v>17</v>
      </c>
      <c r="H46" s="3" t="s">
        <v>40</v>
      </c>
    </row>
    <row r="47">
      <c r="A47" s="3" t="s">
        <v>39</v>
      </c>
      <c r="B47" s="3">
        <v>7.0</v>
      </c>
      <c r="C47" s="4" t="s">
        <v>24</v>
      </c>
      <c r="D47" s="3">
        <v>16.0</v>
      </c>
      <c r="E47" s="3">
        <v>150.0</v>
      </c>
      <c r="F47" s="3" t="s">
        <v>15</v>
      </c>
      <c r="G47" s="3">
        <f t="shared" si="6"/>
        <v>25</v>
      </c>
      <c r="H47" s="3" t="s">
        <v>40</v>
      </c>
    </row>
    <row r="48">
      <c r="A48" s="3" t="s">
        <v>39</v>
      </c>
      <c r="B48" s="3">
        <v>7.0</v>
      </c>
      <c r="C48" s="4" t="s">
        <v>41</v>
      </c>
      <c r="D48" s="3">
        <v>9.0</v>
      </c>
      <c r="E48" s="3">
        <v>100.0</v>
      </c>
      <c r="F48" s="3" t="s">
        <v>15</v>
      </c>
      <c r="G48" s="3">
        <f t="shared" si="6"/>
        <v>17</v>
      </c>
      <c r="H48" s="3" t="s">
        <v>40</v>
      </c>
    </row>
    <row r="49">
      <c r="A49" s="3" t="s">
        <v>39</v>
      </c>
      <c r="B49" s="3">
        <v>7.0</v>
      </c>
      <c r="C49" s="4" t="s">
        <v>42</v>
      </c>
      <c r="D49" s="3">
        <v>12.0</v>
      </c>
      <c r="E49" s="3">
        <v>100.0</v>
      </c>
      <c r="F49" s="3" t="s">
        <v>15</v>
      </c>
      <c r="G49" s="3">
        <f t="shared" si="6"/>
        <v>17</v>
      </c>
      <c r="H49" s="3" t="s">
        <v>40</v>
      </c>
    </row>
    <row r="50">
      <c r="A50" s="3" t="s">
        <v>39</v>
      </c>
      <c r="B50" s="3">
        <v>7.0</v>
      </c>
      <c r="C50" s="4" t="s">
        <v>26</v>
      </c>
      <c r="D50" s="3">
        <v>2.0</v>
      </c>
      <c r="E50" s="3">
        <v>50.0</v>
      </c>
      <c r="F50" s="3" t="s">
        <v>15</v>
      </c>
      <c r="G50" s="3">
        <f t="shared" si="6"/>
        <v>8</v>
      </c>
      <c r="H50" s="3" t="s">
        <v>40</v>
      </c>
    </row>
    <row r="51">
      <c r="A51" s="3" t="s">
        <v>43</v>
      </c>
      <c r="B51" s="3">
        <v>13.0</v>
      </c>
      <c r="C51" s="4" t="s">
        <v>14</v>
      </c>
      <c r="D51" s="3">
        <v>19.0</v>
      </c>
      <c r="E51" s="3">
        <v>1000.0</v>
      </c>
      <c r="F51" s="3" t="s">
        <v>33</v>
      </c>
      <c r="G51" s="6">
        <f t="shared" ref="G51:G77" si="7">E51</f>
        <v>1000</v>
      </c>
      <c r="H51" s="3" t="s">
        <v>44</v>
      </c>
    </row>
    <row r="52">
      <c r="A52" s="3" t="s">
        <v>43</v>
      </c>
      <c r="B52" s="3">
        <v>13.0</v>
      </c>
      <c r="C52" s="4" t="s">
        <v>26</v>
      </c>
      <c r="D52" s="3">
        <v>2.0</v>
      </c>
      <c r="E52" s="3">
        <v>2000.0</v>
      </c>
      <c r="F52" s="3" t="s">
        <v>33</v>
      </c>
      <c r="G52" s="6">
        <f t="shared" si="7"/>
        <v>2000</v>
      </c>
      <c r="H52" s="3" t="s">
        <v>44</v>
      </c>
    </row>
    <row r="53">
      <c r="A53" s="3" t="s">
        <v>43</v>
      </c>
      <c r="B53" s="3">
        <v>13.0</v>
      </c>
      <c r="C53" s="4" t="s">
        <v>13</v>
      </c>
      <c r="D53" s="3">
        <v>7.0</v>
      </c>
      <c r="E53" s="3">
        <v>2000.0</v>
      </c>
      <c r="F53" s="3" t="s">
        <v>33</v>
      </c>
      <c r="G53" s="6">
        <f t="shared" si="7"/>
        <v>2000</v>
      </c>
      <c r="H53" s="3" t="s">
        <v>44</v>
      </c>
    </row>
    <row r="54">
      <c r="A54" s="3" t="s">
        <v>43</v>
      </c>
      <c r="B54" s="3">
        <v>13.0</v>
      </c>
      <c r="C54" s="4" t="s">
        <v>35</v>
      </c>
      <c r="D54" s="3">
        <v>17.0</v>
      </c>
      <c r="E54" s="3">
        <v>1000.0</v>
      </c>
      <c r="F54" s="3" t="s">
        <v>33</v>
      </c>
      <c r="G54" s="6">
        <f t="shared" si="7"/>
        <v>1000</v>
      </c>
      <c r="H54" s="3" t="s">
        <v>44</v>
      </c>
    </row>
    <row r="55">
      <c r="A55" s="3" t="s">
        <v>43</v>
      </c>
      <c r="B55" s="3">
        <v>13.0</v>
      </c>
      <c r="C55" s="4" t="s">
        <v>19</v>
      </c>
      <c r="D55" s="3">
        <v>5.0</v>
      </c>
      <c r="E55" s="3">
        <v>1000.0</v>
      </c>
      <c r="F55" s="3" t="s">
        <v>33</v>
      </c>
      <c r="G55" s="6">
        <f t="shared" si="7"/>
        <v>1000</v>
      </c>
      <c r="H55" s="3" t="s">
        <v>44</v>
      </c>
    </row>
    <row r="56">
      <c r="A56" s="3" t="s">
        <v>43</v>
      </c>
      <c r="B56" s="3">
        <v>13.0</v>
      </c>
      <c r="C56" s="5">
        <v>45985.0</v>
      </c>
      <c r="D56" s="3">
        <v>10.0</v>
      </c>
      <c r="E56" s="3">
        <v>1000.0</v>
      </c>
      <c r="F56" s="3" t="s">
        <v>33</v>
      </c>
      <c r="G56" s="6">
        <f t="shared" si="7"/>
        <v>1000</v>
      </c>
      <c r="H56" s="3" t="s">
        <v>44</v>
      </c>
    </row>
    <row r="57">
      <c r="A57" s="3" t="s">
        <v>19</v>
      </c>
      <c r="B57" s="3">
        <v>5.0</v>
      </c>
      <c r="C57" s="4" t="s">
        <v>13</v>
      </c>
      <c r="D57" s="3">
        <v>7.0</v>
      </c>
      <c r="E57" s="3">
        <v>1000.0</v>
      </c>
      <c r="F57" s="3" t="s">
        <v>33</v>
      </c>
      <c r="G57" s="6">
        <f t="shared" si="7"/>
        <v>1000</v>
      </c>
      <c r="H57" s="3" t="s">
        <v>44</v>
      </c>
    </row>
    <row r="58">
      <c r="A58" s="3" t="s">
        <v>19</v>
      </c>
      <c r="B58" s="3">
        <v>5.0</v>
      </c>
      <c r="C58" s="5">
        <v>45985.0</v>
      </c>
      <c r="D58" s="3">
        <v>10.0</v>
      </c>
      <c r="E58" s="3">
        <v>1000.0</v>
      </c>
      <c r="F58" s="3" t="s">
        <v>33</v>
      </c>
      <c r="G58" s="6">
        <f t="shared" si="7"/>
        <v>1000</v>
      </c>
      <c r="H58" s="3" t="s">
        <v>44</v>
      </c>
    </row>
    <row r="59">
      <c r="A59" s="3" t="s">
        <v>13</v>
      </c>
      <c r="B59" s="3">
        <v>7.0</v>
      </c>
      <c r="C59" s="4" t="s">
        <v>35</v>
      </c>
      <c r="D59" s="3">
        <v>17.0</v>
      </c>
      <c r="E59" s="3">
        <v>1000.0</v>
      </c>
      <c r="F59" s="3" t="s">
        <v>33</v>
      </c>
      <c r="G59" s="6">
        <f t="shared" si="7"/>
        <v>1000</v>
      </c>
      <c r="H59" s="3" t="s">
        <v>44</v>
      </c>
    </row>
    <row r="60">
      <c r="A60" s="3" t="s">
        <v>43</v>
      </c>
      <c r="B60" s="3">
        <v>13.0</v>
      </c>
      <c r="C60" s="4" t="s">
        <v>23</v>
      </c>
      <c r="D60" s="3">
        <v>15.0</v>
      </c>
      <c r="E60" s="3">
        <v>2000.0</v>
      </c>
      <c r="F60" s="3" t="s">
        <v>33</v>
      </c>
      <c r="G60" s="6">
        <f t="shared" si="7"/>
        <v>2000</v>
      </c>
      <c r="H60" s="3" t="s">
        <v>44</v>
      </c>
    </row>
    <row r="61">
      <c r="A61" s="3" t="s">
        <v>43</v>
      </c>
      <c r="B61" s="3">
        <v>13.0</v>
      </c>
      <c r="C61" s="4" t="s">
        <v>13</v>
      </c>
      <c r="D61" s="3">
        <v>7.0</v>
      </c>
      <c r="E61" s="3">
        <v>3000.0</v>
      </c>
      <c r="F61" s="3" t="s">
        <v>33</v>
      </c>
      <c r="G61" s="6">
        <f t="shared" si="7"/>
        <v>3000</v>
      </c>
      <c r="H61" s="3" t="s">
        <v>45</v>
      </c>
    </row>
    <row r="62">
      <c r="A62" s="3" t="s">
        <v>43</v>
      </c>
      <c r="B62" s="3">
        <v>13.0</v>
      </c>
      <c r="C62" s="4" t="s">
        <v>14</v>
      </c>
      <c r="D62" s="3">
        <v>19.0</v>
      </c>
      <c r="E62" s="3">
        <v>1000.0</v>
      </c>
      <c r="F62" s="3" t="s">
        <v>33</v>
      </c>
      <c r="G62" s="6">
        <f t="shared" si="7"/>
        <v>1000</v>
      </c>
      <c r="H62" s="3" t="s">
        <v>45</v>
      </c>
    </row>
    <row r="63">
      <c r="A63" s="3" t="s">
        <v>43</v>
      </c>
      <c r="B63" s="3">
        <v>13.0</v>
      </c>
      <c r="C63" s="4" t="s">
        <v>19</v>
      </c>
      <c r="D63" s="3">
        <v>5.0</v>
      </c>
      <c r="E63" s="3">
        <v>1000.0</v>
      </c>
      <c r="F63" s="3" t="s">
        <v>33</v>
      </c>
      <c r="G63" s="6">
        <f t="shared" si="7"/>
        <v>1000</v>
      </c>
      <c r="H63" s="3" t="s">
        <v>45</v>
      </c>
    </row>
    <row r="64">
      <c r="A64" s="3" t="s">
        <v>43</v>
      </c>
      <c r="B64" s="3">
        <v>13.0</v>
      </c>
      <c r="C64" s="5">
        <v>45985.0</v>
      </c>
      <c r="D64" s="3">
        <v>10.0</v>
      </c>
      <c r="E64" s="3">
        <v>1000.0</v>
      </c>
      <c r="F64" s="3" t="s">
        <v>33</v>
      </c>
      <c r="G64" s="6">
        <f t="shared" si="7"/>
        <v>1000</v>
      </c>
      <c r="H64" s="3" t="s">
        <v>45</v>
      </c>
    </row>
    <row r="65">
      <c r="A65" s="3" t="s">
        <v>43</v>
      </c>
      <c r="B65" s="3">
        <v>13.0</v>
      </c>
      <c r="C65" s="4" t="s">
        <v>28</v>
      </c>
      <c r="D65" s="3">
        <v>9.0</v>
      </c>
      <c r="E65" s="3">
        <v>1000.0</v>
      </c>
      <c r="F65" s="3" t="s">
        <v>33</v>
      </c>
      <c r="G65" s="6">
        <f t="shared" si="7"/>
        <v>1000</v>
      </c>
      <c r="H65" s="3" t="s">
        <v>45</v>
      </c>
    </row>
    <row r="66">
      <c r="A66" s="3" t="s">
        <v>43</v>
      </c>
      <c r="B66" s="3">
        <v>13.0</v>
      </c>
      <c r="C66" s="4" t="s">
        <v>23</v>
      </c>
      <c r="D66" s="3">
        <v>15.0</v>
      </c>
      <c r="E66" s="3">
        <v>1000.0</v>
      </c>
      <c r="F66" s="3" t="s">
        <v>33</v>
      </c>
      <c r="G66" s="6">
        <f t="shared" si="7"/>
        <v>1000</v>
      </c>
      <c r="H66" s="3" t="s">
        <v>45</v>
      </c>
    </row>
    <row r="67">
      <c r="A67" s="3" t="s">
        <v>43</v>
      </c>
      <c r="B67" s="3">
        <v>13.0</v>
      </c>
      <c r="C67" s="4" t="s">
        <v>46</v>
      </c>
      <c r="D67" s="3">
        <v>2.0</v>
      </c>
      <c r="E67" s="3">
        <v>1000.0</v>
      </c>
      <c r="F67" s="3" t="s">
        <v>33</v>
      </c>
      <c r="G67" s="6">
        <f t="shared" si="7"/>
        <v>1000</v>
      </c>
      <c r="H67" s="3" t="s">
        <v>45</v>
      </c>
    </row>
    <row r="68">
      <c r="A68" s="3" t="s">
        <v>43</v>
      </c>
      <c r="B68" s="3">
        <v>13.0</v>
      </c>
      <c r="C68" s="4" t="s">
        <v>35</v>
      </c>
      <c r="D68" s="3">
        <v>17.0</v>
      </c>
      <c r="E68" s="3">
        <v>3000.0</v>
      </c>
      <c r="F68" s="3" t="s">
        <v>33</v>
      </c>
      <c r="G68" s="6">
        <f t="shared" si="7"/>
        <v>3000</v>
      </c>
      <c r="H68" s="3" t="s">
        <v>45</v>
      </c>
    </row>
    <row r="69">
      <c r="A69" s="3" t="s">
        <v>43</v>
      </c>
      <c r="B69" s="3">
        <v>13.0</v>
      </c>
      <c r="C69" s="4" t="s">
        <v>47</v>
      </c>
      <c r="D69" s="3">
        <v>12.0</v>
      </c>
      <c r="E69" s="3">
        <v>1000.0</v>
      </c>
      <c r="F69" s="3" t="s">
        <v>33</v>
      </c>
      <c r="G69" s="6">
        <f t="shared" si="7"/>
        <v>1000</v>
      </c>
      <c r="H69" s="3" t="s">
        <v>45</v>
      </c>
    </row>
    <row r="70">
      <c r="A70" s="3" t="s">
        <v>43</v>
      </c>
      <c r="B70" s="3">
        <v>13.0</v>
      </c>
      <c r="C70" s="4" t="s">
        <v>13</v>
      </c>
      <c r="D70" s="3">
        <v>7.0</v>
      </c>
      <c r="E70" s="3">
        <v>2000.0</v>
      </c>
      <c r="F70" s="3" t="s">
        <v>33</v>
      </c>
      <c r="G70" s="6">
        <f t="shared" si="7"/>
        <v>2000</v>
      </c>
      <c r="H70" s="3" t="s">
        <v>48</v>
      </c>
    </row>
    <row r="71">
      <c r="A71" s="3" t="s">
        <v>43</v>
      </c>
      <c r="B71" s="3">
        <v>13.0</v>
      </c>
      <c r="C71" s="5">
        <v>45985.0</v>
      </c>
      <c r="D71" s="3">
        <v>10.0</v>
      </c>
      <c r="E71" s="3">
        <v>1000.0</v>
      </c>
      <c r="F71" s="3" t="s">
        <v>33</v>
      </c>
      <c r="G71" s="6">
        <f t="shared" si="7"/>
        <v>1000</v>
      </c>
      <c r="H71" s="3" t="s">
        <v>48</v>
      </c>
    </row>
    <row r="72">
      <c r="A72" s="3" t="s">
        <v>43</v>
      </c>
      <c r="B72" s="3">
        <v>13.0</v>
      </c>
      <c r="C72" s="4" t="s">
        <v>19</v>
      </c>
      <c r="D72" s="3">
        <v>5.0</v>
      </c>
      <c r="E72" s="3">
        <v>1000.0</v>
      </c>
      <c r="F72" s="3" t="s">
        <v>33</v>
      </c>
      <c r="G72" s="6">
        <f t="shared" si="7"/>
        <v>1000</v>
      </c>
      <c r="H72" s="3" t="s">
        <v>48</v>
      </c>
    </row>
    <row r="73">
      <c r="A73" s="3" t="s">
        <v>43</v>
      </c>
      <c r="B73" s="3">
        <v>13.0</v>
      </c>
      <c r="C73" s="4" t="s">
        <v>21</v>
      </c>
      <c r="D73" s="3">
        <v>2.0</v>
      </c>
      <c r="E73" s="3">
        <v>2000.0</v>
      </c>
      <c r="F73" s="3" t="s">
        <v>33</v>
      </c>
      <c r="G73" s="6">
        <f t="shared" si="7"/>
        <v>2000</v>
      </c>
      <c r="H73" s="3" t="s">
        <v>48</v>
      </c>
    </row>
    <row r="74">
      <c r="A74" s="3" t="s">
        <v>43</v>
      </c>
      <c r="B74" s="3">
        <v>13.0</v>
      </c>
      <c r="C74" s="4" t="s">
        <v>35</v>
      </c>
      <c r="D74" s="3">
        <v>17.0</v>
      </c>
      <c r="E74" s="3">
        <v>1000.0</v>
      </c>
      <c r="F74" s="3" t="s">
        <v>33</v>
      </c>
      <c r="G74" s="6">
        <f t="shared" si="7"/>
        <v>1000</v>
      </c>
      <c r="H74" s="3" t="s">
        <v>48</v>
      </c>
    </row>
    <row r="75">
      <c r="A75" s="3" t="s">
        <v>43</v>
      </c>
      <c r="B75" s="3">
        <v>13.0</v>
      </c>
      <c r="C75" s="4" t="s">
        <v>14</v>
      </c>
      <c r="D75" s="3">
        <v>19.0</v>
      </c>
      <c r="E75" s="3">
        <v>1000.0</v>
      </c>
      <c r="F75" s="3" t="s">
        <v>33</v>
      </c>
      <c r="G75" s="6">
        <f t="shared" si="7"/>
        <v>1000</v>
      </c>
      <c r="H75" s="3" t="s">
        <v>48</v>
      </c>
    </row>
    <row r="76">
      <c r="A76" s="3" t="s">
        <v>19</v>
      </c>
      <c r="B76" s="3">
        <v>5.0</v>
      </c>
      <c r="C76" s="5">
        <v>45985.0</v>
      </c>
      <c r="D76" s="3">
        <v>10.0</v>
      </c>
      <c r="E76" s="3">
        <v>1000.0</v>
      </c>
      <c r="F76" s="3" t="s">
        <v>33</v>
      </c>
      <c r="G76" s="6">
        <f t="shared" si="7"/>
        <v>1000</v>
      </c>
      <c r="H76" s="3" t="s">
        <v>48</v>
      </c>
    </row>
    <row r="77">
      <c r="A77" s="3" t="s">
        <v>13</v>
      </c>
      <c r="B77" s="3">
        <v>7.0</v>
      </c>
      <c r="C77" s="4" t="s">
        <v>35</v>
      </c>
      <c r="D77" s="3">
        <v>17.0</v>
      </c>
      <c r="E77" s="3">
        <v>1000.0</v>
      </c>
      <c r="F77" s="3" t="s">
        <v>33</v>
      </c>
      <c r="G77" s="6">
        <f t="shared" si="7"/>
        <v>1000</v>
      </c>
      <c r="H77" s="3" t="s">
        <v>48</v>
      </c>
    </row>
    <row r="78">
      <c r="C78" s="7"/>
    </row>
    <row r="79">
      <c r="C79" s="7"/>
    </row>
    <row r="80">
      <c r="C80" s="7"/>
      <c r="F80" s="1" t="s">
        <v>49</v>
      </c>
      <c r="G80" s="6">
        <f>SUM(G2:G77)</f>
        <v>50497</v>
      </c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</sheetData>
  <drawing r:id="rId1"/>
</worksheet>
</file>